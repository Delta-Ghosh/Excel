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xcell\"/>
    </mc:Choice>
  </mc:AlternateContent>
  <xr:revisionPtr revIDLastSave="0" documentId="13_ncr:1_{81E007F9-DC78-47A1-80AD-DA9E493046F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J17" i="1"/>
  <c r="J16" i="1"/>
  <c r="I18" i="1"/>
  <c r="G2" i="1"/>
  <c r="G3" i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I15" i="1"/>
  <c r="I14" i="1"/>
  <c r="I17" i="1" l="1"/>
  <c r="I16" i="1"/>
</calcChain>
</file>

<file path=xl/sharedStrings.xml><?xml version="1.0" encoding="utf-8"?>
<sst xmlns="http://schemas.openxmlformats.org/spreadsheetml/2006/main" count="36" uniqueCount="26">
  <si>
    <t>Description</t>
  </si>
  <si>
    <t>Type</t>
  </si>
  <si>
    <t>Ammount</t>
  </si>
  <si>
    <t>S.No</t>
  </si>
  <si>
    <t>Tea</t>
  </si>
  <si>
    <t>Snacks</t>
  </si>
  <si>
    <t>Gulab Jammun</t>
  </si>
  <si>
    <t>Lunch</t>
  </si>
  <si>
    <t>Food</t>
  </si>
  <si>
    <t>food</t>
  </si>
  <si>
    <t>Stationary</t>
  </si>
  <si>
    <t>Zerodha</t>
  </si>
  <si>
    <t>Icici</t>
  </si>
  <si>
    <t>office</t>
  </si>
  <si>
    <t>Total for the Day</t>
  </si>
  <si>
    <t>Dinner</t>
  </si>
  <si>
    <t>birthday</t>
  </si>
  <si>
    <t>fun</t>
  </si>
  <si>
    <t>Average Transaction value</t>
  </si>
  <si>
    <t>Food Expense</t>
  </si>
  <si>
    <t>Fun</t>
  </si>
  <si>
    <t>Investment</t>
  </si>
  <si>
    <t>investment</t>
  </si>
  <si>
    <t>Sum</t>
  </si>
  <si>
    <t>Parcentage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</si>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</sst>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0" fillId="8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66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98" zoomScaleNormal="98" workbookViewId="0">
      <selection activeCell="M16" sqref="M16"/>
    </sheetView>
  </sheetViews>
  <sheetFormatPr defaultRowHeight="15" x14ac:dyDescent="0.25"/>
  <cols>
    <col min="1" max="1" width="5.140625" bestFit="1" customWidth="1"/>
    <col min="2" max="2" width="14.140625" bestFit="1" customWidth="1"/>
    <col min="3" max="3" width="11.140625" bestFit="1" customWidth="1"/>
    <col min="4" max="4" width="9.85546875" bestFit="1" customWidth="1"/>
    <col min="5" max="5" width="5.42578125" bestFit="1" customWidth="1"/>
    <col min="6" max="6" width="4.28515625" bestFit="1" customWidth="1"/>
    <col min="7" max="7" width="11.140625" bestFit="1" customWidth="1"/>
    <col min="8" max="8" width="15.5703125" bestFit="1" customWidth="1"/>
    <col min="9" max="9" width="6.140625" bestFit="1" customWidth="1"/>
    <col min="10" max="10" width="10.85546875" bestFit="1" customWidth="1"/>
    <col min="12" max="12" width="13.42578125" bestFit="1" customWidth="1"/>
    <col min="13" max="13" width="6" bestFit="1" customWidth="1"/>
    <col min="14" max="14" width="10.85546875" bestFit="1" customWidth="1"/>
  </cols>
  <sheetData>
    <row r="1" spans="1:14" x14ac:dyDescent="0.25">
      <c r="A1" s="7" t="s">
        <v>3</v>
      </c>
      <c r="B1" s="2" t="s">
        <v>0</v>
      </c>
      <c r="C1" s="3" t="s">
        <v>1</v>
      </c>
      <c r="D1" s="3" t="s">
        <v>2</v>
      </c>
      <c r="E1" s="4" t="s">
        <v>8</v>
      </c>
      <c r="F1" s="5" t="s">
        <v>20</v>
      </c>
      <c r="G1" s="6" t="s">
        <v>21</v>
      </c>
      <c r="H1" s="1"/>
      <c r="I1" s="1"/>
      <c r="J1" s="1"/>
      <c r="K1" s="1"/>
      <c r="L1" s="1"/>
      <c r="M1" s="1"/>
      <c r="N1" s="1"/>
    </row>
    <row r="2" spans="1:14" x14ac:dyDescent="0.25">
      <c r="A2" s="8">
        <v>1</v>
      </c>
      <c r="B2" s="23" t="s">
        <v>4</v>
      </c>
      <c r="C2" s="23" t="s">
        <v>9</v>
      </c>
      <c r="D2" s="23">
        <v>10</v>
      </c>
      <c r="E2" s="23">
        <f>COUNTIF(C2,"food")*D2</f>
        <v>10</v>
      </c>
      <c r="F2" s="23">
        <f>COUNTIF(C2,"fun")*D2</f>
        <v>0</v>
      </c>
      <c r="G2" s="23">
        <f>COUNTIF(C2,"investment")*D2</f>
        <v>0</v>
      </c>
      <c r="H2" s="1"/>
      <c r="I2" s="1"/>
      <c r="J2" s="1"/>
      <c r="K2" s="1"/>
      <c r="L2" s="1"/>
      <c r="M2" s="1"/>
      <c r="N2" s="1"/>
    </row>
    <row r="3" spans="1:14" x14ac:dyDescent="0.25">
      <c r="A3" s="8">
        <v>2</v>
      </c>
      <c r="B3" s="23" t="s">
        <v>5</v>
      </c>
      <c r="C3" s="23" t="s">
        <v>9</v>
      </c>
      <c r="D3" s="23">
        <v>15</v>
      </c>
      <c r="E3" s="23">
        <f t="shared" ref="E3:E11" si="0">COUNTIF(C3,"food")*D3</f>
        <v>15</v>
      </c>
      <c r="F3" s="23">
        <f t="shared" ref="F3:F11" si="1">COUNTIF(C3,"fun")*D3</f>
        <v>0</v>
      </c>
      <c r="G3" s="23">
        <f t="shared" ref="G3:G11" si="2">COUNTIF(C3,"investment")*D3</f>
        <v>0</v>
      </c>
      <c r="H3" s="1"/>
      <c r="I3" s="1"/>
      <c r="J3" s="1"/>
      <c r="K3" s="1"/>
      <c r="L3" s="1"/>
      <c r="M3" s="1"/>
      <c r="N3" s="1"/>
    </row>
    <row r="4" spans="1:14" x14ac:dyDescent="0.25">
      <c r="A4" s="8">
        <v>3</v>
      </c>
      <c r="B4" s="23" t="s">
        <v>6</v>
      </c>
      <c r="C4" s="23" t="s">
        <v>9</v>
      </c>
      <c r="D4" s="23">
        <v>10</v>
      </c>
      <c r="E4" s="23">
        <f t="shared" si="0"/>
        <v>10</v>
      </c>
      <c r="F4" s="23">
        <f t="shared" si="1"/>
        <v>0</v>
      </c>
      <c r="G4" s="23">
        <f t="shared" si="2"/>
        <v>0</v>
      </c>
      <c r="H4" s="1"/>
      <c r="I4" s="1"/>
      <c r="J4" s="1"/>
      <c r="K4" s="1"/>
      <c r="L4" s="1"/>
      <c r="M4" s="1"/>
      <c r="N4" s="1"/>
    </row>
    <row r="5" spans="1:14" x14ac:dyDescent="0.25">
      <c r="A5" s="8">
        <v>4</v>
      </c>
      <c r="B5" s="23" t="s">
        <v>7</v>
      </c>
      <c r="C5" s="23" t="s">
        <v>9</v>
      </c>
      <c r="D5" s="23">
        <v>100</v>
      </c>
      <c r="E5" s="23">
        <f t="shared" si="0"/>
        <v>100</v>
      </c>
      <c r="F5" s="23">
        <f t="shared" si="1"/>
        <v>0</v>
      </c>
      <c r="G5" s="23">
        <f t="shared" si="2"/>
        <v>0</v>
      </c>
      <c r="H5" s="1"/>
      <c r="I5" s="1"/>
      <c r="J5" s="1"/>
      <c r="K5" s="1"/>
      <c r="L5" s="1"/>
      <c r="M5" s="1"/>
      <c r="N5" s="1"/>
    </row>
    <row r="6" spans="1:14" x14ac:dyDescent="0.25">
      <c r="A6" s="8">
        <v>5</v>
      </c>
      <c r="B6" s="23" t="s">
        <v>4</v>
      </c>
      <c r="C6" s="23" t="s">
        <v>9</v>
      </c>
      <c r="D6" s="23">
        <v>10</v>
      </c>
      <c r="E6" s="23">
        <f t="shared" si="0"/>
        <v>10</v>
      </c>
      <c r="F6" s="23">
        <f t="shared" si="1"/>
        <v>0</v>
      </c>
      <c r="G6" s="23">
        <f t="shared" si="2"/>
        <v>0</v>
      </c>
      <c r="H6" s="1"/>
      <c r="I6" s="1"/>
      <c r="N6" s="1"/>
    </row>
    <row r="7" spans="1:14" x14ac:dyDescent="0.25">
      <c r="A7" s="8">
        <v>6</v>
      </c>
      <c r="B7" s="23" t="s">
        <v>10</v>
      </c>
      <c r="C7" s="23" t="s">
        <v>13</v>
      </c>
      <c r="D7" s="23">
        <v>40</v>
      </c>
      <c r="E7" s="23">
        <f t="shared" si="0"/>
        <v>0</v>
      </c>
      <c r="F7" s="23">
        <f t="shared" si="1"/>
        <v>0</v>
      </c>
      <c r="G7" s="23">
        <f t="shared" si="2"/>
        <v>0</v>
      </c>
      <c r="H7" s="1"/>
      <c r="I7" s="1"/>
      <c r="N7" s="1"/>
    </row>
    <row r="8" spans="1:14" x14ac:dyDescent="0.25">
      <c r="A8" s="8">
        <v>7</v>
      </c>
      <c r="B8" s="23" t="s">
        <v>11</v>
      </c>
      <c r="C8" s="23" t="s">
        <v>22</v>
      </c>
      <c r="D8" s="23">
        <v>1000</v>
      </c>
      <c r="E8" s="23">
        <f t="shared" si="0"/>
        <v>0</v>
      </c>
      <c r="F8" s="23">
        <f t="shared" si="1"/>
        <v>0</v>
      </c>
      <c r="G8" s="23">
        <f t="shared" si="2"/>
        <v>1000</v>
      </c>
      <c r="H8" s="1"/>
      <c r="I8" s="1"/>
      <c r="N8" s="1"/>
    </row>
    <row r="9" spans="1:14" x14ac:dyDescent="0.25">
      <c r="A9" s="8">
        <v>8</v>
      </c>
      <c r="B9" s="23" t="s">
        <v>12</v>
      </c>
      <c r="C9" s="23" t="s">
        <v>22</v>
      </c>
      <c r="D9" s="23">
        <v>2000</v>
      </c>
      <c r="E9" s="23">
        <f t="shared" si="0"/>
        <v>0</v>
      </c>
      <c r="F9" s="23">
        <f t="shared" si="1"/>
        <v>0</v>
      </c>
      <c r="G9" s="23">
        <f t="shared" si="2"/>
        <v>2000</v>
      </c>
      <c r="H9" s="1"/>
      <c r="I9" s="1"/>
      <c r="N9" s="1"/>
    </row>
    <row r="10" spans="1:14" x14ac:dyDescent="0.25">
      <c r="A10" s="8">
        <v>9</v>
      </c>
      <c r="B10" s="23" t="s">
        <v>15</v>
      </c>
      <c r="C10" s="23" t="s">
        <v>9</v>
      </c>
      <c r="D10" s="23">
        <v>120</v>
      </c>
      <c r="E10" s="23">
        <f t="shared" si="0"/>
        <v>120</v>
      </c>
      <c r="F10" s="23">
        <f t="shared" si="1"/>
        <v>0</v>
      </c>
      <c r="G10" s="23">
        <f t="shared" si="2"/>
        <v>0</v>
      </c>
      <c r="H10" s="1"/>
      <c r="I10" s="1"/>
      <c r="N10" s="1"/>
    </row>
    <row r="11" spans="1:14" x14ac:dyDescent="0.25">
      <c r="A11" s="8">
        <v>10</v>
      </c>
      <c r="B11" s="23" t="s">
        <v>16</v>
      </c>
      <c r="C11" s="23" t="s">
        <v>17</v>
      </c>
      <c r="D11" s="23">
        <v>300</v>
      </c>
      <c r="E11" s="23">
        <f t="shared" si="0"/>
        <v>0</v>
      </c>
      <c r="F11" s="23">
        <f t="shared" si="1"/>
        <v>300</v>
      </c>
      <c r="G11" s="23">
        <f t="shared" si="2"/>
        <v>0</v>
      </c>
      <c r="H11" s="1"/>
      <c r="I11" s="1"/>
      <c r="N11" s="1"/>
    </row>
    <row r="12" spans="1:14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9"/>
      <c r="I13" s="10" t="s">
        <v>23</v>
      </c>
      <c r="J13" s="11" t="s">
        <v>24</v>
      </c>
      <c r="K13" s="1"/>
      <c r="L13" s="1"/>
      <c r="M13" s="1"/>
      <c r="N13" s="1"/>
    </row>
    <row r="14" spans="1:14" ht="30" x14ac:dyDescent="0.25">
      <c r="A14" s="1"/>
      <c r="B14" s="1"/>
      <c r="C14" s="1"/>
      <c r="D14" s="1"/>
      <c r="E14" s="1"/>
      <c r="F14" s="1"/>
      <c r="G14" s="1"/>
      <c r="H14" s="20" t="s">
        <v>14</v>
      </c>
      <c r="I14" s="12">
        <f>SUM(D:D)</f>
        <v>3605</v>
      </c>
      <c r="J14" s="22" t="s">
        <v>25</v>
      </c>
    </row>
    <row r="15" spans="1:14" ht="45" x14ac:dyDescent="0.25">
      <c r="A15" s="1"/>
      <c r="B15" s="1"/>
      <c r="C15" s="1"/>
      <c r="D15" s="1"/>
      <c r="E15" s="1"/>
      <c r="F15" s="1"/>
      <c r="G15" s="1"/>
      <c r="H15" s="21" t="s">
        <v>18</v>
      </c>
      <c r="I15" s="13">
        <f>AVERAGE(D:D)</f>
        <v>360.5</v>
      </c>
      <c r="J15" s="22" t="s">
        <v>25</v>
      </c>
    </row>
    <row r="16" spans="1:14" x14ac:dyDescent="0.25">
      <c r="A16" s="1"/>
      <c r="B16" s="1"/>
      <c r="C16" s="1"/>
      <c r="D16" s="1"/>
      <c r="E16" s="1"/>
      <c r="F16" s="1"/>
      <c r="G16" s="1"/>
      <c r="H16" s="14" t="s">
        <v>19</v>
      </c>
      <c r="I16" s="12">
        <f>SUM(E:E)</f>
        <v>265</v>
      </c>
      <c r="J16" s="15">
        <f>I16/I14*100</f>
        <v>7.3509015256588066</v>
      </c>
    </row>
    <row r="17" spans="1:10" x14ac:dyDescent="0.25">
      <c r="A17" s="1"/>
      <c r="B17" s="1"/>
      <c r="C17" s="1"/>
      <c r="D17" s="1"/>
      <c r="E17" s="1"/>
      <c r="F17" s="1"/>
      <c r="G17" s="1"/>
      <c r="H17" s="16" t="s">
        <v>20</v>
      </c>
      <c r="I17" s="12">
        <f>SUM(F:F)</f>
        <v>300</v>
      </c>
      <c r="J17" s="15">
        <f>I17/I14*100</f>
        <v>8.3217753120665741</v>
      </c>
    </row>
    <row r="18" spans="1:10" ht="15.75" thickBot="1" x14ac:dyDescent="0.3">
      <c r="A18" s="1"/>
      <c r="B18" s="1"/>
      <c r="C18" s="1"/>
      <c r="D18" s="1"/>
      <c r="E18" s="1"/>
      <c r="F18" s="1"/>
      <c r="G18" s="1"/>
      <c r="H18" s="17" t="s">
        <v>22</v>
      </c>
      <c r="I18" s="18">
        <f>SUM(G:G)</f>
        <v>3000</v>
      </c>
      <c r="J18" s="19">
        <f>I18/I14*100</f>
        <v>83.217753120665733</v>
      </c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Ghosh</dc:creator>
  <cp:lastModifiedBy>Sarthak Ghosh</cp:lastModifiedBy>
  <dcterms:created xsi:type="dcterms:W3CDTF">2015-06-05T18:17:20Z</dcterms:created>
  <dcterms:modified xsi:type="dcterms:W3CDTF">2026-02-12T16:29:04Z</dcterms:modified>
</cp:coreProperties>
</file>